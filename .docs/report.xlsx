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sks" sheetId="2" state="visible" r:id="rId2"/>
    <sheet name="Waves" sheetId="3" state="visible" r:id="rId3"/>
    <sheet name="Agents" sheetId="4" state="visible" r:id="rId4"/>
    <sheet name="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b2777"/>
      <sz val="18"/>
    </font>
    <font>
      <b val="1"/>
    </font>
    <font>
      <b val="1"/>
      <color rgb="00FFFFFF"/>
      <sz val="12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9a8d4"/>
      </patternFill>
    </fill>
    <fill>
      <patternFill patternType="solid">
        <fgColor rgb="00db2777"/>
      </patternFill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Swarm Execution Report</t>
        </is>
      </c>
    </row>
    <row r="3">
      <c r="A3" s="2" t="inlineStr">
        <is>
          <t>Plan File</t>
        </is>
      </c>
      <c r="B3" t="inlineStr">
        <is>
          <t>(pending)</t>
        </is>
      </c>
    </row>
    <row r="4">
      <c r="A4" s="2" t="inlineStr">
        <is>
          <t>Generated</t>
        </is>
      </c>
      <c r="B4" t="inlineStr">
        <is>
          <t>(pending)</t>
        </is>
      </c>
    </row>
    <row r="5">
      <c r="A5" s="2" t="inlineStr">
        <is>
          <t>Status</t>
        </is>
      </c>
      <c r="B5" t="inlineStr">
        <is>
          <t>Not Started</t>
        </is>
      </c>
    </row>
    <row r="7">
      <c r="A7" s="3" t="inlineStr">
        <is>
          <t>Metric</t>
        </is>
      </c>
      <c r="B7" s="3" t="inlineStr">
        <is>
          <t>Value</t>
        </is>
      </c>
    </row>
    <row r="8">
      <c r="A8" s="4" t="inlineStr">
        <is>
          <t>Total Tasks</t>
        </is>
      </c>
      <c r="B8">
        <f>COUNTA(Tasks!A:A)-1</f>
        <v/>
      </c>
    </row>
    <row r="9">
      <c r="A9" s="4" t="inlineStr">
        <is>
          <t>Total Waves</t>
        </is>
      </c>
      <c r="B9">
        <f>MAX(Tasks!B:B)</f>
        <v/>
      </c>
    </row>
    <row r="10">
      <c r="A10" s="4" t="inlineStr">
        <is>
          <t>Completed Tasks</t>
        </is>
      </c>
      <c r="B10">
        <f>COUNTIF(Tasks!G:G,"Complete")</f>
        <v/>
      </c>
    </row>
    <row r="11">
      <c r="A11" s="4" t="inlineStr">
        <is>
          <t>Failed Tasks</t>
        </is>
      </c>
      <c r="B11">
        <f>COUNTIF(Tasks!G:G,"Failed")</f>
        <v/>
      </c>
    </row>
    <row r="12">
      <c r="A12" s="4" t="inlineStr">
        <is>
          <t>Running Tasks</t>
        </is>
      </c>
      <c r="B12">
        <f>COUNTIF(Tasks!G:G,"Running")</f>
        <v/>
      </c>
    </row>
    <row r="13">
      <c r="A13" s="4" t="inlineStr">
        <is>
          <t>Total Duration (min)</t>
        </is>
      </c>
      <c r="B13">
        <f>SUM(Tasks!F:F)</f>
        <v/>
      </c>
    </row>
    <row r="14">
      <c r="A14" s="4" t="inlineStr">
        <is>
          <t>Total Tokens</t>
        </is>
      </c>
      <c r="B14">
        <f>SUM(Tasks!I:I)</f>
        <v/>
      </c>
    </row>
    <row r="15">
      <c r="A15" s="4" t="inlineStr">
        <is>
          <t>Avg Context Window</t>
        </is>
      </c>
      <c r="B15">
        <f>AVERAGE(Tasks!J:J)</f>
        <v/>
      </c>
    </row>
    <row r="18">
      <c r="A18" s="5" t="inlineStr">
        <is>
          <t>Efficiency Metrics</t>
        </is>
      </c>
    </row>
    <row r="19">
      <c r="A19" s="6" t="inlineStr">
        <is>
          <t>Sequential Est. (min)</t>
        </is>
      </c>
      <c r="B19">
        <f>B8*5</f>
        <v/>
      </c>
    </row>
    <row r="20">
      <c r="A20" s="6" t="inlineStr">
        <is>
          <t>Parallel Actual (min)</t>
        </is>
      </c>
      <c r="B20">
        <f>B13</f>
        <v/>
      </c>
    </row>
    <row r="21">
      <c r="A21" s="6" t="inlineStr">
        <is>
          <t>Time Saved (%)</t>
        </is>
      </c>
      <c r="B21">
        <f>IF(B19&gt;0,(B19-B20)/B19*100,0)</f>
        <v/>
      </c>
    </row>
  </sheetData>
  <mergeCells count="2">
    <mergeCell ref="A18:B18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5" customWidth="1" min="3" max="3"/>
    <col width="20" customWidth="1" min="4" max="4"/>
    <col width="20" customWidth="1" min="5" max="5"/>
    <col width="12" customWidth="1" min="6" max="6"/>
    <col width="15" customWidth="1" min="7" max="7"/>
    <col width="15" customWidth="1" min="8" max="8"/>
    <col width="10" customWidth="1" min="9" max="9"/>
    <col width="15" customWidth="1" min="10" max="10"/>
    <col width="30" customWidth="1" min="11" max="11"/>
    <col width="15" customWidth="1" min="12" max="12"/>
    <col width="40" customWidth="1" min="13" max="13"/>
  </cols>
  <sheetData>
    <row r="1">
      <c r="A1" s="7" t="inlineStr">
        <is>
          <t>Task Name</t>
        </is>
      </c>
      <c r="B1" s="7" t="inlineStr">
        <is>
          <t>Wave</t>
        </is>
      </c>
      <c r="C1" s="7" t="inlineStr">
        <is>
          <t>Agent ID</t>
        </is>
      </c>
      <c r="D1" s="7" t="inlineStr">
        <is>
          <t>Start Time</t>
        </is>
      </c>
      <c r="E1" s="7" t="inlineStr">
        <is>
          <t>End Time</t>
        </is>
      </c>
      <c r="F1" s="7" t="inlineStr">
        <is>
          <t>Duration (min)</t>
        </is>
      </c>
      <c r="G1" s="7" t="inlineStr">
        <is>
          <t>Status</t>
        </is>
      </c>
      <c r="H1" s="7" t="inlineStr">
        <is>
          <t>Model</t>
        </is>
      </c>
      <c r="I1" s="7" t="inlineStr">
        <is>
          <t>Tokens</t>
        </is>
      </c>
      <c r="J1" s="7" t="inlineStr">
        <is>
          <t>Context Window</t>
        </is>
      </c>
      <c r="K1" s="7" t="inlineStr">
        <is>
          <t>Files Changed</t>
        </is>
      </c>
      <c r="L1" s="7" t="inlineStr">
        <is>
          <t>Commit Hash</t>
        </is>
      </c>
      <c r="M1" s="7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>
      <c r="A1" s="7" t="inlineStr">
        <is>
          <t>Wave #</t>
        </is>
      </c>
      <c r="B1" s="7" t="inlineStr">
        <is>
          <t>Task Count</t>
        </is>
      </c>
      <c r="C1" s="7" t="inlineStr">
        <is>
          <t>Start Time</t>
        </is>
      </c>
      <c r="D1" s="7" t="inlineStr">
        <is>
          <t>End Time</t>
        </is>
      </c>
      <c r="E1" s="7" t="inlineStr">
        <is>
          <t>Duration (min)</t>
        </is>
      </c>
      <c r="F1" s="7" t="inlineStr">
        <is>
          <t>Status</t>
        </is>
      </c>
      <c r="G1" s="7" t="inlineStr">
        <is>
          <t>Parallel Agents</t>
        </is>
      </c>
    </row>
    <row r="2">
      <c r="A2" t="n">
        <v>0</v>
      </c>
      <c r="B2">
        <f>COUNTIF(Tasks!B:B,0)</f>
        <v/>
      </c>
      <c r="F2" t="inlineStr">
        <is>
          <t>Pending</t>
        </is>
      </c>
    </row>
    <row r="3">
      <c r="A3" t="n">
        <v>1</v>
      </c>
      <c r="B3">
        <f>COUNTIF(Tasks!B:B,1)</f>
        <v/>
      </c>
      <c r="F3" t="inlineStr">
        <is>
          <t>Pending</t>
        </is>
      </c>
    </row>
    <row r="4">
      <c r="A4" t="n">
        <v>2</v>
      </c>
      <c r="B4">
        <f>COUNTIF(Tasks!B:B,2)</f>
        <v/>
      </c>
      <c r="F4" t="inlineStr">
        <is>
          <t>Pending</t>
        </is>
      </c>
    </row>
    <row r="5">
      <c r="A5" t="n">
        <v>3</v>
      </c>
      <c r="B5">
        <f>COUNTIF(Tasks!B:B,3)</f>
        <v/>
      </c>
      <c r="F5" t="inlineStr">
        <is>
          <t>Pending</t>
        </is>
      </c>
    </row>
    <row r="6">
      <c r="A6" t="n">
        <v>4</v>
      </c>
      <c r="B6">
        <f>COUNTIF(Tasks!B:B,4)</f>
        <v/>
      </c>
      <c r="F6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8" customWidth="1" min="4" max="4"/>
    <col width="20" customWidth="1" min="5" max="5"/>
    <col width="15" customWidth="1" min="6" max="6"/>
    <col width="20" customWidth="1" min="7" max="7"/>
    <col width="20" customWidth="1" min="8" max="8"/>
    <col width="10" customWidth="1" min="9" max="9"/>
    <col width="50" customWidth="1" min="10" max="10"/>
  </cols>
  <sheetData>
    <row r="1">
      <c r="A1" s="7" t="inlineStr">
        <is>
          <t>Agent ID</t>
        </is>
      </c>
      <c r="B1" s="7" t="inlineStr">
        <is>
          <t>Worktree Path</t>
        </is>
      </c>
      <c r="C1" s="7" t="inlineStr">
        <is>
          <t>Task Assigned</t>
        </is>
      </c>
      <c r="D1" s="7" t="inlineStr">
        <is>
          <t>Wave</t>
        </is>
      </c>
      <c r="E1" s="7" t="inlineStr">
        <is>
          <t>PID/Job Name</t>
        </is>
      </c>
      <c r="F1" s="7" t="inlineStr">
        <is>
          <t>Status</t>
        </is>
      </c>
      <c r="G1" s="7" t="inlineStr">
        <is>
          <t>Started</t>
        </is>
      </c>
      <c r="H1" s="7" t="inlineStr">
        <is>
          <t>Finished</t>
        </is>
      </c>
      <c r="I1" s="7" t="inlineStr">
        <is>
          <t>Exit Code</t>
        </is>
      </c>
      <c r="J1" s="7" t="inlineStr">
        <is>
          <t>Error 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60" customWidth="1" min="4" max="4"/>
  </cols>
  <sheetData>
    <row r="1">
      <c r="A1" s="7" t="inlineStr">
        <is>
          <t>Timestamp</t>
        </is>
      </c>
      <c r="B1" s="7" t="inlineStr">
        <is>
          <t>Event Type</t>
        </is>
      </c>
      <c r="C1" s="7" t="inlineStr">
        <is>
          <t>Agent/Wave</t>
        </is>
      </c>
      <c r="D1" s="7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2026-01-25T04:33:13Z</dcterms:created>
  <dcterms:modified xsi:type="dcterms:W3CDTF">2026-01-25T04:33:13Z</dcterms:modified>
</cp:coreProperties>
</file>